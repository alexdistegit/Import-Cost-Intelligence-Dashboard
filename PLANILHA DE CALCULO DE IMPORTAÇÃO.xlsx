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cuments\HD Externo\1 - DISTEFANO CONSULTORIA\Import Cost Intelligence Dashboard\"/>
    </mc:Choice>
  </mc:AlternateContent>
  <xr:revisionPtr revIDLastSave="0" documentId="13_ncr:1_{97674E0E-C245-4AEE-9970-3B5AF6DEAAA8}" xr6:coauthVersionLast="47" xr6:coauthVersionMax="47" xr10:uidLastSave="{00000000-0000-0000-0000-000000000000}"/>
  <bookViews>
    <workbookView xWindow="-120" yWindow="-120" windowWidth="20730" windowHeight="11160" xr2:uid="{E5DEB8F9-1C5B-4217-A94E-105F8D0588BA}"/>
  </bookViews>
  <sheets>
    <sheet name="NAVEGANTES" sheetId="3" r:id="rId1"/>
  </sheets>
  <definedNames>
    <definedName name="_xlnm.Print_Area" localSheetId="0">NAVEGANTES!$B$2:$M$55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 l="1"/>
  <c r="J22" i="3"/>
  <c r="C17" i="3" l="1"/>
  <c r="C18" i="3" s="1"/>
  <c r="D42" i="3"/>
  <c r="D41" i="3"/>
  <c r="D38" i="3"/>
  <c r="D37" i="3"/>
  <c r="D36" i="3"/>
  <c r="D35" i="3"/>
  <c r="D34" i="3"/>
  <c r="D33" i="3"/>
  <c r="D31" i="3"/>
  <c r="D43" i="3" l="1"/>
  <c r="D23" i="3"/>
  <c r="D51" i="3"/>
  <c r="D25" i="3"/>
  <c r="D32" i="3"/>
  <c r="D24" i="3"/>
  <c r="D22" i="3"/>
  <c r="D26" i="3" l="1"/>
  <c r="D52" i="3" s="1"/>
  <c r="D39" i="3"/>
  <c r="D40" i="3" s="1"/>
  <c r="D47" i="3" s="1"/>
  <c r="D53" i="3" s="1"/>
  <c r="D54" i="3" l="1"/>
  <c r="E53" i="3" s="1"/>
  <c r="J51" i="3" l="1"/>
  <c r="J53" i="3" s="1"/>
  <c r="E51" i="3"/>
  <c r="E52" i="3"/>
  <c r="E5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Fabiano</author>
  </authors>
  <commentList>
    <comment ref="D26" authorId="0" shapeId="0" xr:uid="{0B4B96CE-F1D7-41B5-B3D2-5573610BD387}">
      <text>
        <r>
          <rPr>
            <b/>
            <sz val="9"/>
            <color indexed="81"/>
            <rFont val="Segoe UI"/>
            <family val="2"/>
          </rPr>
          <t>Luis Fabiano:</t>
        </r>
        <r>
          <rPr>
            <sz val="9"/>
            <color indexed="81"/>
            <rFont val="Segoe UI"/>
            <family val="2"/>
          </rPr>
          <t xml:space="preserve">
Verificar com o dpto tributário se existe algum beneficio pela constituição da empresa
</t>
        </r>
      </text>
    </comment>
  </commentList>
</comments>
</file>

<file path=xl/sharedStrings.xml><?xml version="1.0" encoding="utf-8"?>
<sst xmlns="http://schemas.openxmlformats.org/spreadsheetml/2006/main" count="56" uniqueCount="47">
  <si>
    <t xml:space="preserve">DEMONSTRATIVO DE CUSTOS </t>
  </si>
  <si>
    <t>PRODUTO:</t>
  </si>
  <si>
    <t>NCM:</t>
  </si>
  <si>
    <t>Quantidade mercadoria</t>
  </si>
  <si>
    <t>Valor Mercadoria fob (US$)</t>
  </si>
  <si>
    <t>Valor frete (US$)</t>
  </si>
  <si>
    <t>Valor Total Cif (US$)</t>
  </si>
  <si>
    <t>Taxa de Câmbio:</t>
  </si>
  <si>
    <t>IMPOSTOS E TAXAS DE IMPORTAÇÃO</t>
  </si>
  <si>
    <t>Impostos de Importação</t>
  </si>
  <si>
    <t>IPI</t>
  </si>
  <si>
    <t>PIS</t>
  </si>
  <si>
    <t>COFINS</t>
  </si>
  <si>
    <t>ICMS</t>
  </si>
  <si>
    <t>AFRMM</t>
  </si>
  <si>
    <t>SISCOMEX</t>
  </si>
  <si>
    <t>DESPACHANTE</t>
  </si>
  <si>
    <t>CUSTOS OPERACIONAIS</t>
  </si>
  <si>
    <t>Armazem Alfandegado</t>
  </si>
  <si>
    <t>Seguro</t>
  </si>
  <si>
    <t>Unitário</t>
  </si>
  <si>
    <t>Total</t>
  </si>
  <si>
    <t>RESUMO DA OPERAÇÃO</t>
  </si>
  <si>
    <t>Total custo da Mercadoria</t>
  </si>
  <si>
    <t>Total Custo de impostos e taxas</t>
  </si>
  <si>
    <t>Total custo Operacional</t>
  </si>
  <si>
    <t>Reais p/ton</t>
  </si>
  <si>
    <t>US$ p/ton</t>
  </si>
  <si>
    <t>%</t>
  </si>
  <si>
    <t xml:space="preserve">Imposto PIS/COFINS/ISS </t>
  </si>
  <si>
    <t>Quantid container</t>
  </si>
  <si>
    <t>Posicionamento Vistoria</t>
  </si>
  <si>
    <t>Transporte de Container Cheio e Vazio</t>
  </si>
  <si>
    <t>Desova de Container</t>
  </si>
  <si>
    <t>THC</t>
  </si>
  <si>
    <t>p/cont</t>
  </si>
  <si>
    <t>Valor Total Cif (R$)</t>
  </si>
  <si>
    <t>Ad valorem</t>
  </si>
  <si>
    <t>Remoção costado</t>
  </si>
  <si>
    <t>Handling in e out</t>
  </si>
  <si>
    <t>THC terminal armador</t>
  </si>
  <si>
    <t>p/ton</t>
  </si>
  <si>
    <t>Armazenagem 01 - 10 dias</t>
  </si>
  <si>
    <t>tons</t>
  </si>
  <si>
    <t>IMPORTAÇÃO POR NAVEGANTES - CONTAINER</t>
  </si>
  <si>
    <t xml:space="preserve">IMPORTADOR: </t>
  </si>
  <si>
    <t>BL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</si>
</sst>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_-;\-* #,##0.0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2" fillId="2" borderId="0" xfId="3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64" fontId="0" fillId="2" borderId="0" xfId="1" applyNumberFormat="1" applyFont="1" applyFill="1" applyBorder="1"/>
    <xf numFmtId="43" fontId="0" fillId="2" borderId="7" xfId="1" applyFont="1" applyFill="1" applyBorder="1"/>
    <xf numFmtId="0" fontId="3" fillId="2" borderId="4" xfId="0" applyFont="1" applyFill="1" applyBorder="1"/>
    <xf numFmtId="43" fontId="0" fillId="2" borderId="9" xfId="0" applyNumberFormat="1" applyFill="1" applyBorder="1"/>
    <xf numFmtId="43" fontId="0" fillId="2" borderId="9" xfId="1" applyFont="1" applyFill="1" applyBorder="1"/>
    <xf numFmtId="0" fontId="3" fillId="2" borderId="1" xfId="0" applyFont="1" applyFill="1" applyBorder="1"/>
    <xf numFmtId="0" fontId="0" fillId="2" borderId="9" xfId="0" applyFill="1" applyBorder="1"/>
    <xf numFmtId="0" fontId="0" fillId="2" borderId="0" xfId="0" applyFill="1" applyAlignment="1">
      <alignment horizontal="right"/>
    </xf>
    <xf numFmtId="0" fontId="0" fillId="3" borderId="0" xfId="0" applyFill="1"/>
    <xf numFmtId="0" fontId="3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43" fontId="0" fillId="2" borderId="9" xfId="1" applyFont="1" applyFill="1" applyBorder="1" applyAlignment="1">
      <alignment horizontal="center"/>
    </xf>
    <xf numFmtId="43" fontId="3" fillId="2" borderId="0" xfId="1" applyFont="1" applyFill="1" applyBorder="1"/>
    <xf numFmtId="0" fontId="3" fillId="4" borderId="4" xfId="0" applyFont="1" applyFill="1" applyBorder="1"/>
    <xf numFmtId="0" fontId="0" fillId="4" borderId="0" xfId="0" applyFill="1"/>
    <xf numFmtId="0" fontId="0" fillId="4" borderId="5" xfId="0" applyFill="1" applyBorder="1"/>
    <xf numFmtId="0" fontId="0" fillId="4" borderId="4" xfId="0" applyFill="1" applyBorder="1"/>
    <xf numFmtId="10" fontId="0" fillId="4" borderId="9" xfId="2" applyNumberFormat="1" applyFont="1" applyFill="1" applyBorder="1"/>
    <xf numFmtId="43" fontId="0" fillId="4" borderId="9" xfId="0" applyNumberFormat="1" applyFill="1" applyBorder="1"/>
    <xf numFmtId="0" fontId="0" fillId="4" borderId="0" xfId="0" applyFill="1" applyAlignment="1">
      <alignment horizontal="right"/>
    </xf>
    <xf numFmtId="43" fontId="0" fillId="4" borderId="9" xfId="1" applyFont="1" applyFill="1" applyBorder="1"/>
    <xf numFmtId="0" fontId="3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43" fontId="0" fillId="4" borderId="0" xfId="0" applyNumberFormat="1" applyFill="1"/>
    <xf numFmtId="0" fontId="3" fillId="4" borderId="0" xfId="0" applyFont="1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2" borderId="7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3" fillId="4" borderId="0" xfId="0" applyFont="1" applyFill="1" applyAlignment="1">
      <alignment horizontal="right"/>
    </xf>
    <xf numFmtId="43" fontId="4" fillId="4" borderId="0" xfId="0" applyNumberFormat="1" applyFont="1" applyFill="1"/>
    <xf numFmtId="43" fontId="4" fillId="4" borderId="0" xfId="1" applyFont="1" applyFill="1" applyBorder="1"/>
    <xf numFmtId="0" fontId="4" fillId="4" borderId="0" xfId="0" applyFont="1" applyFill="1"/>
    <xf numFmtId="0" fontId="5" fillId="2" borderId="2" xfId="0" applyFont="1" applyFill="1" applyBorder="1"/>
    <xf numFmtId="43" fontId="0" fillId="4" borderId="0" xfId="1" applyFont="1" applyFill="1" applyBorder="1"/>
    <xf numFmtId="0" fontId="5" fillId="2" borderId="0" xfId="0" applyFont="1" applyFill="1"/>
    <xf numFmtId="43" fontId="6" fillId="4" borderId="9" xfId="0" applyNumberFormat="1" applyFont="1" applyFill="1" applyBorder="1"/>
    <xf numFmtId="10" fontId="0" fillId="2" borderId="9" xfId="1" applyNumberFormat="1" applyFont="1" applyFill="1" applyBorder="1"/>
    <xf numFmtId="165" fontId="0" fillId="2" borderId="9" xfId="1" applyNumberFormat="1" applyFont="1" applyFill="1" applyBorder="1"/>
    <xf numFmtId="10" fontId="0" fillId="2" borderId="0" xfId="0" applyNumberFormat="1" applyFill="1"/>
    <xf numFmtId="0" fontId="3" fillId="2" borderId="2" xfId="0" applyFont="1" applyFill="1" applyBorder="1"/>
    <xf numFmtId="0" fontId="0" fillId="2" borderId="0" xfId="0" applyFill="1" applyAlignment="1">
      <alignment horizontal="left"/>
    </xf>
    <xf numFmtId="0" fontId="0" fillId="5" borderId="4" xfId="0" applyFill="1" applyBorder="1"/>
    <xf numFmtId="43" fontId="0" fillId="5" borderId="9" xfId="1" applyFont="1" applyFill="1" applyBorder="1"/>
    <xf numFmtId="0" fontId="0" fillId="5" borderId="0" xfId="0" applyFill="1"/>
    <xf numFmtId="3" fontId="0" fillId="2" borderId="2" xfId="0" applyNumberFormat="1" applyFill="1" applyBorder="1"/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7ABD-EB4F-4710-981D-B14200E3E637}">
  <dimension ref="B1:M56"/>
  <sheetViews>
    <sheetView tabSelected="1" workbookViewId="0">
      <selection activeCell="O19" sqref="O19"/>
    </sheetView>
  </sheetViews>
  <sheetFormatPr defaultRowHeight="15" x14ac:dyDescent="0.25"/>
  <cols>
    <col min="2" max="2" width="34.7109375" bestFit="1" customWidth="1"/>
    <col min="3" max="3" width="14.28515625" bestFit="1" customWidth="1"/>
    <col min="4" max="4" width="16.7109375" bestFit="1" customWidth="1"/>
    <col min="5" max="5" width="7.85546875" bestFit="1" customWidth="1"/>
    <col min="6" max="6" width="3.42578125" customWidth="1"/>
    <col min="7" max="7" width="2.42578125" customWidth="1"/>
    <col min="8" max="8" width="13.42578125" bestFit="1" customWidth="1"/>
    <col min="9" max="9" width="5.85546875" customWidth="1"/>
    <col min="10" max="10" width="13.7109375" customWidth="1"/>
    <col min="11" max="11" width="11.42578125" bestFit="1" customWidth="1"/>
    <col min="12" max="12" width="2.28515625" customWidth="1"/>
    <col min="13" max="13" width="9.42578125" customWidth="1"/>
  </cols>
  <sheetData>
    <row r="1" spans="2:13" ht="15.75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2:13" ht="15.75" thickTop="1" x14ac:dyDescent="0.25">
      <c r="B2" s="1"/>
      <c r="C2" s="2"/>
      <c r="D2" s="2"/>
      <c r="E2" s="2"/>
      <c r="F2" s="53"/>
      <c r="G2" s="2"/>
      <c r="H2" s="2"/>
      <c r="I2" s="2"/>
      <c r="J2" s="2"/>
      <c r="K2" s="2"/>
      <c r="L2" s="2"/>
      <c r="M2" s="3"/>
    </row>
    <row r="3" spans="2:13" x14ac:dyDescent="0.2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2:13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2:13" x14ac:dyDescent="0.25">
      <c r="B5" s="4"/>
      <c r="C5" s="5"/>
      <c r="D5" s="5"/>
      <c r="E5" s="5"/>
      <c r="F5" s="7"/>
      <c r="G5" s="5"/>
      <c r="H5" s="5"/>
      <c r="I5" s="5"/>
      <c r="J5" s="5"/>
      <c r="K5" s="5"/>
      <c r="L5" s="5"/>
      <c r="M5" s="6"/>
    </row>
    <row r="6" spans="2:13" ht="15.75" thickBot="1" x14ac:dyDescent="0.3">
      <c r="B6" s="4"/>
      <c r="C6" s="5"/>
      <c r="D6" s="5"/>
      <c r="E6" s="5"/>
      <c r="F6" s="7"/>
      <c r="G6" s="5"/>
      <c r="H6" s="5"/>
      <c r="I6" s="5"/>
      <c r="J6" s="5"/>
      <c r="K6" s="5"/>
      <c r="L6" s="5"/>
      <c r="M6" s="6"/>
    </row>
    <row r="7" spans="2:13" ht="15.75" thickTop="1" x14ac:dyDescent="0.25">
      <c r="B7" s="16" t="s">
        <v>0</v>
      </c>
      <c r="C7" s="2"/>
      <c r="D7" s="46" t="s">
        <v>44</v>
      </c>
      <c r="E7" s="2"/>
      <c r="F7" s="2"/>
      <c r="G7" s="2"/>
      <c r="H7" s="2"/>
      <c r="I7" s="2"/>
      <c r="J7" s="2"/>
      <c r="K7" s="2"/>
      <c r="L7" s="2"/>
      <c r="M7" s="3"/>
    </row>
    <row r="8" spans="2:13" x14ac:dyDescent="0.25">
      <c r="B8" s="13"/>
      <c r="C8" s="5"/>
      <c r="D8" s="48" t="s">
        <v>45</v>
      </c>
      <c r="E8" s="5"/>
      <c r="F8" s="5"/>
      <c r="G8" s="5"/>
      <c r="H8" s="5"/>
      <c r="I8" s="5"/>
      <c r="J8" s="5"/>
      <c r="K8" s="5"/>
      <c r="L8" s="5"/>
      <c r="M8" s="6"/>
    </row>
    <row r="9" spans="2:13" ht="15.75" thickBot="1" x14ac:dyDescent="0.3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10"/>
    </row>
    <row r="10" spans="2:13" ht="15.75" thickTop="1" x14ac:dyDescent="0.25">
      <c r="B10" s="16" t="s">
        <v>1</v>
      </c>
      <c r="C10" s="46"/>
      <c r="D10" s="2"/>
      <c r="E10" s="2"/>
      <c r="F10" s="2"/>
      <c r="G10" s="2"/>
      <c r="H10" s="2"/>
      <c r="I10" s="2" t="s">
        <v>2</v>
      </c>
      <c r="J10" s="58">
        <v>35069190</v>
      </c>
      <c r="K10" s="2"/>
      <c r="L10" s="2"/>
      <c r="M10" s="3"/>
    </row>
    <row r="11" spans="2:13" x14ac:dyDescent="0.2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</row>
    <row r="12" spans="2:13" x14ac:dyDescent="0.25">
      <c r="B12" s="4" t="s">
        <v>3</v>
      </c>
      <c r="C12" s="51">
        <v>26</v>
      </c>
      <c r="D12" s="5" t="s">
        <v>43</v>
      </c>
      <c r="E12" s="5"/>
      <c r="F12" s="5"/>
      <c r="G12" s="5"/>
      <c r="H12" s="5"/>
      <c r="I12" s="5" t="s">
        <v>7</v>
      </c>
      <c r="J12" s="5"/>
      <c r="K12" s="11">
        <v>5.3</v>
      </c>
      <c r="L12" s="5"/>
      <c r="M12" s="6"/>
    </row>
    <row r="13" spans="2:13" x14ac:dyDescent="0.25">
      <c r="B13" s="4"/>
      <c r="C13" s="1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2:13" x14ac:dyDescent="0.25">
      <c r="B14" s="4" t="s">
        <v>4</v>
      </c>
      <c r="C14" s="15">
        <v>1122</v>
      </c>
      <c r="D14" s="5" t="s">
        <v>41</v>
      </c>
      <c r="E14" s="5"/>
      <c r="F14" s="5"/>
      <c r="G14" s="5"/>
      <c r="H14" s="5"/>
      <c r="I14" s="5"/>
      <c r="J14" s="5"/>
      <c r="K14" s="5"/>
      <c r="L14" s="5"/>
      <c r="M14" s="6"/>
    </row>
    <row r="15" spans="2:13" x14ac:dyDescent="0.25">
      <c r="B15" s="4" t="s">
        <v>5</v>
      </c>
      <c r="C15" s="15">
        <v>98.08</v>
      </c>
      <c r="D15" s="5" t="s">
        <v>41</v>
      </c>
      <c r="E15" s="5"/>
      <c r="F15" s="5"/>
      <c r="G15" s="5"/>
      <c r="H15" s="18"/>
      <c r="I15" s="5"/>
      <c r="J15" s="15"/>
      <c r="K15" s="5"/>
      <c r="L15" s="5"/>
      <c r="M15" s="6"/>
    </row>
    <row r="16" spans="2:13" x14ac:dyDescent="0.25">
      <c r="B16" s="4"/>
      <c r="C16" s="15"/>
      <c r="D16" s="5"/>
      <c r="E16" s="5"/>
      <c r="F16" s="5"/>
      <c r="G16" s="5"/>
      <c r="H16" s="18"/>
      <c r="I16" s="5"/>
      <c r="J16" s="17"/>
      <c r="K16" s="5"/>
      <c r="L16" s="5"/>
      <c r="M16" s="6"/>
    </row>
    <row r="17" spans="2:13" x14ac:dyDescent="0.25">
      <c r="B17" s="4" t="s">
        <v>6</v>
      </c>
      <c r="C17" s="15">
        <f>((C14+C15)*C12)+J17</f>
        <v>31800.079999999998</v>
      </c>
      <c r="D17" s="5"/>
      <c r="E17" s="5"/>
      <c r="F17" s="5"/>
      <c r="G17" s="5"/>
      <c r="H17" s="18" t="s">
        <v>19</v>
      </c>
      <c r="I17" s="5"/>
      <c r="J17" s="14">
        <v>78</v>
      </c>
      <c r="K17" s="5"/>
      <c r="L17" s="5"/>
      <c r="M17" s="6"/>
    </row>
    <row r="18" spans="2:13" x14ac:dyDescent="0.25">
      <c r="B18" s="4" t="s">
        <v>36</v>
      </c>
      <c r="C18" s="15">
        <f>C17*K12</f>
        <v>168540.42399999997</v>
      </c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2:13" ht="15.75" thickBot="1" x14ac:dyDescent="0.3">
      <c r="B19" s="8"/>
      <c r="C19" s="12"/>
      <c r="D19" s="9"/>
      <c r="E19" s="9"/>
      <c r="F19" s="9"/>
      <c r="G19" s="9"/>
      <c r="H19" s="9"/>
      <c r="I19" s="9"/>
      <c r="J19" s="9"/>
      <c r="K19" s="9"/>
      <c r="L19" s="9"/>
      <c r="M19" s="10"/>
    </row>
    <row r="20" spans="2:13" ht="15.75" thickTop="1" x14ac:dyDescent="0.25">
      <c r="B20" s="24" t="s">
        <v>8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</row>
    <row r="21" spans="2:13" x14ac:dyDescent="0.25">
      <c r="B21" s="27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</row>
    <row r="22" spans="2:13" x14ac:dyDescent="0.25">
      <c r="B22" s="27" t="s">
        <v>9</v>
      </c>
      <c r="C22" s="28">
        <v>0.14399999999999999</v>
      </c>
      <c r="D22" s="29">
        <f>C18*C22</f>
        <v>24269.821055999993</v>
      </c>
      <c r="E22" s="25"/>
      <c r="F22" s="25"/>
      <c r="G22" s="25"/>
      <c r="H22" s="30" t="s">
        <v>14</v>
      </c>
      <c r="I22" s="25"/>
      <c r="J22" s="31">
        <f>(((C15*C12)*K12)+(J30*J32))*8%</f>
        <v>1081.2339199999999</v>
      </c>
      <c r="K22" s="25"/>
      <c r="L22" s="25"/>
      <c r="M22" s="26"/>
    </row>
    <row r="23" spans="2:13" x14ac:dyDescent="0.25">
      <c r="B23" s="27" t="s">
        <v>10</v>
      </c>
      <c r="C23" s="28">
        <v>0</v>
      </c>
      <c r="D23" s="29">
        <f>C18*C23</f>
        <v>0</v>
      </c>
      <c r="E23" s="25"/>
      <c r="F23" s="25"/>
      <c r="G23" s="25"/>
      <c r="H23" s="30"/>
      <c r="I23" s="25"/>
      <c r="J23" s="31"/>
      <c r="K23" s="25"/>
      <c r="L23" s="25"/>
      <c r="M23" s="26"/>
    </row>
    <row r="24" spans="2:13" x14ac:dyDescent="0.25">
      <c r="B24" s="27" t="s">
        <v>11</v>
      </c>
      <c r="C24" s="28">
        <v>2.1000000000000001E-2</v>
      </c>
      <c r="D24" s="29">
        <f>C18*C24</f>
        <v>3539.3489039999995</v>
      </c>
      <c r="E24" s="25"/>
      <c r="F24" s="25"/>
      <c r="G24" s="25"/>
      <c r="H24" s="30" t="s">
        <v>15</v>
      </c>
      <c r="I24" s="25"/>
      <c r="J24" s="31">
        <v>154.22999999999999</v>
      </c>
      <c r="K24" s="25"/>
      <c r="L24" s="25"/>
      <c r="M24" s="26"/>
    </row>
    <row r="25" spans="2:13" x14ac:dyDescent="0.25">
      <c r="B25" s="27" t="s">
        <v>12</v>
      </c>
      <c r="C25" s="28">
        <v>9.6500000000000002E-2</v>
      </c>
      <c r="D25" s="29">
        <f>C18*C25</f>
        <v>16264.150915999997</v>
      </c>
      <c r="E25" s="25"/>
      <c r="F25" s="25"/>
      <c r="G25" s="25"/>
      <c r="H25" s="30"/>
      <c r="I25" s="25"/>
      <c r="J25" s="31"/>
      <c r="K25" s="25"/>
      <c r="L25" s="25"/>
      <c r="M25" s="26"/>
    </row>
    <row r="26" spans="2:13" x14ac:dyDescent="0.25">
      <c r="B26" s="27" t="s">
        <v>13</v>
      </c>
      <c r="C26" s="28">
        <v>0.17</v>
      </c>
      <c r="D26" s="49">
        <f>((((D22+D23+D24+D25)+(C18)+(J22+J24))/82%)*C26)</f>
        <v>44334.592067463418</v>
      </c>
      <c r="E26" s="25"/>
      <c r="F26" s="25"/>
      <c r="G26" s="25"/>
      <c r="H26" s="30" t="s">
        <v>16</v>
      </c>
      <c r="I26" s="25"/>
      <c r="J26" s="31">
        <v>1500</v>
      </c>
      <c r="K26" s="25"/>
      <c r="L26" s="25"/>
      <c r="M26" s="26"/>
    </row>
    <row r="27" spans="2:13" ht="15.75" thickBot="1" x14ac:dyDescent="0.3">
      <c r="B27" s="27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</row>
    <row r="28" spans="2:13" s="19" customFormat="1" ht="15.75" thickTop="1" x14ac:dyDescent="0.25">
      <c r="B28" s="16" t="s">
        <v>17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spans="2:13" s="19" customFormat="1" x14ac:dyDescent="0.2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</row>
    <row r="30" spans="2:13" s="19" customFormat="1" x14ac:dyDescent="0.25">
      <c r="B30" s="13" t="s">
        <v>18</v>
      </c>
      <c r="C30" s="20" t="s">
        <v>20</v>
      </c>
      <c r="D30" s="20" t="s">
        <v>21</v>
      </c>
      <c r="E30" s="5"/>
      <c r="F30" s="5"/>
      <c r="G30" s="5"/>
      <c r="H30" s="5"/>
      <c r="I30" s="5"/>
      <c r="J30" s="17">
        <v>1</v>
      </c>
      <c r="K30" s="5" t="s">
        <v>30</v>
      </c>
      <c r="L30" s="5"/>
      <c r="M30" s="6"/>
    </row>
    <row r="31" spans="2:13" s="19" customFormat="1" x14ac:dyDescent="0.25">
      <c r="B31" s="4" t="s">
        <v>42</v>
      </c>
      <c r="C31" s="15">
        <v>6500</v>
      </c>
      <c r="D31" s="15">
        <f>C31*$J$30</f>
        <v>6500</v>
      </c>
      <c r="E31" s="5" t="s">
        <v>35</v>
      </c>
      <c r="F31" s="5"/>
      <c r="G31" s="5"/>
      <c r="H31" s="18"/>
      <c r="I31" s="5"/>
      <c r="J31" s="21"/>
      <c r="K31" s="5"/>
      <c r="L31" s="5"/>
      <c r="M31" s="6"/>
    </row>
    <row r="32" spans="2:13" s="19" customFormat="1" x14ac:dyDescent="0.25">
      <c r="B32" s="4" t="s">
        <v>37</v>
      </c>
      <c r="C32" s="50">
        <v>0</v>
      </c>
      <c r="D32" s="15">
        <f>C18*C32</f>
        <v>0</v>
      </c>
      <c r="E32" s="5" t="s">
        <v>35</v>
      </c>
      <c r="F32" s="52"/>
      <c r="G32" s="5"/>
      <c r="H32" s="18"/>
      <c r="I32" s="5"/>
      <c r="J32" s="15">
        <v>0</v>
      </c>
      <c r="K32" s="5" t="s">
        <v>34</v>
      </c>
      <c r="L32" s="5"/>
      <c r="M32" s="6"/>
    </row>
    <row r="33" spans="2:13" s="19" customFormat="1" x14ac:dyDescent="0.25">
      <c r="B33" s="4" t="s">
        <v>31</v>
      </c>
      <c r="C33" s="15">
        <v>0</v>
      </c>
      <c r="D33" s="15">
        <f t="shared" ref="D33:D38" si="0">C33*$J$30</f>
        <v>0</v>
      </c>
      <c r="E33" s="5" t="s">
        <v>35</v>
      </c>
      <c r="F33" s="5"/>
      <c r="G33" s="5"/>
      <c r="H33" s="18"/>
      <c r="I33" s="5"/>
      <c r="J33" s="22"/>
      <c r="K33" s="5"/>
      <c r="L33" s="5"/>
      <c r="M33" s="6"/>
    </row>
    <row r="34" spans="2:13" s="19" customFormat="1" x14ac:dyDescent="0.25">
      <c r="B34" s="4" t="s">
        <v>38</v>
      </c>
      <c r="C34" s="15">
        <v>0</v>
      </c>
      <c r="D34" s="15">
        <f t="shared" si="0"/>
        <v>0</v>
      </c>
      <c r="E34" s="5" t="s">
        <v>35</v>
      </c>
      <c r="F34" s="5"/>
      <c r="G34" s="5"/>
      <c r="H34" s="18"/>
      <c r="I34" s="5"/>
      <c r="J34" s="17"/>
      <c r="K34" s="5"/>
      <c r="L34" s="5"/>
      <c r="M34" s="6"/>
    </row>
    <row r="35" spans="2:13" s="19" customFormat="1" x14ac:dyDescent="0.25">
      <c r="B35" s="4" t="s">
        <v>39</v>
      </c>
      <c r="C35" s="15">
        <v>521</v>
      </c>
      <c r="D35" s="15">
        <f t="shared" si="0"/>
        <v>521</v>
      </c>
      <c r="E35" s="5"/>
      <c r="F35" s="5"/>
      <c r="G35" s="5"/>
      <c r="H35" s="18"/>
      <c r="I35" s="5"/>
      <c r="J35" s="17"/>
      <c r="K35" s="5"/>
      <c r="L35" s="5"/>
      <c r="M35" s="6"/>
    </row>
    <row r="36" spans="2:13" s="19" customFormat="1" x14ac:dyDescent="0.25">
      <c r="B36" s="4" t="s">
        <v>46</v>
      </c>
      <c r="C36" s="15">
        <v>700</v>
      </c>
      <c r="D36" s="15">
        <f t="shared" si="0"/>
        <v>700</v>
      </c>
      <c r="E36" s="5"/>
      <c r="F36" s="5"/>
      <c r="G36" s="5"/>
      <c r="H36" s="18"/>
      <c r="I36" s="5"/>
      <c r="J36" s="17"/>
      <c r="K36" s="5"/>
      <c r="L36" s="5"/>
      <c r="M36" s="6"/>
    </row>
    <row r="37" spans="2:13" s="19" customFormat="1" x14ac:dyDescent="0.25">
      <c r="B37" s="4" t="s">
        <v>40</v>
      </c>
      <c r="C37" s="15">
        <v>900</v>
      </c>
      <c r="D37" s="15">
        <f t="shared" si="0"/>
        <v>900</v>
      </c>
      <c r="E37" s="5"/>
      <c r="F37" s="5"/>
      <c r="G37" s="5"/>
      <c r="H37" s="18"/>
      <c r="I37" s="5"/>
      <c r="J37" s="5"/>
      <c r="K37" s="5"/>
      <c r="L37" s="5"/>
      <c r="M37" s="6"/>
    </row>
    <row r="38" spans="2:13" s="19" customFormat="1" x14ac:dyDescent="0.25">
      <c r="B38" s="4"/>
      <c r="C38" s="15">
        <v>0</v>
      </c>
      <c r="D38" s="15">
        <f t="shared" si="0"/>
        <v>0</v>
      </c>
      <c r="E38" s="5"/>
      <c r="F38" s="5"/>
      <c r="G38" s="5"/>
      <c r="H38" s="18"/>
      <c r="I38" s="5"/>
      <c r="J38" s="5"/>
      <c r="K38" s="5"/>
      <c r="L38" s="5"/>
      <c r="M38" s="6"/>
    </row>
    <row r="39" spans="2:13" s="19" customFormat="1" x14ac:dyDescent="0.25">
      <c r="B39" s="4" t="s">
        <v>29</v>
      </c>
      <c r="C39" s="50">
        <v>0</v>
      </c>
      <c r="D39" s="14">
        <f>(SUM(D32:D38))*C39</f>
        <v>0</v>
      </c>
      <c r="E39" s="5"/>
      <c r="F39" s="5"/>
      <c r="G39" s="5"/>
      <c r="H39" s="18"/>
      <c r="I39" s="5"/>
      <c r="J39" s="5"/>
      <c r="K39" s="5"/>
      <c r="L39" s="5"/>
      <c r="M39" s="6"/>
    </row>
    <row r="40" spans="2:13" s="19" customFormat="1" x14ac:dyDescent="0.25">
      <c r="B40" s="4"/>
      <c r="C40" s="5"/>
      <c r="D40" s="23">
        <f>SUM(D31:D39)</f>
        <v>8621</v>
      </c>
      <c r="E40" s="5"/>
      <c r="F40" s="5"/>
      <c r="G40" s="5"/>
      <c r="H40" s="18"/>
      <c r="I40" s="5"/>
      <c r="J40" s="5"/>
      <c r="K40" s="5"/>
      <c r="L40" s="5"/>
      <c r="M40" s="6"/>
    </row>
    <row r="41" spans="2:13" s="19" customFormat="1" x14ac:dyDescent="0.25">
      <c r="B41" s="4" t="s">
        <v>32</v>
      </c>
      <c r="C41" s="15">
        <v>0</v>
      </c>
      <c r="D41" s="15">
        <f t="shared" ref="D41:D42" si="1">C41*$J$30</f>
        <v>0</v>
      </c>
      <c r="E41" s="5" t="s">
        <v>35</v>
      </c>
      <c r="F41" s="5"/>
      <c r="G41" s="5"/>
      <c r="H41" s="54"/>
      <c r="I41" s="5"/>
      <c r="J41" s="5"/>
      <c r="K41" s="5"/>
      <c r="L41" s="5"/>
      <c r="M41" s="6"/>
    </row>
    <row r="42" spans="2:13" s="19" customFormat="1" x14ac:dyDescent="0.25">
      <c r="B42" s="4" t="s">
        <v>33</v>
      </c>
      <c r="C42" s="15">
        <v>0</v>
      </c>
      <c r="D42" s="15">
        <f t="shared" si="1"/>
        <v>0</v>
      </c>
      <c r="E42" s="5" t="s">
        <v>35</v>
      </c>
      <c r="F42" s="5"/>
      <c r="G42" s="5"/>
      <c r="H42" s="18"/>
      <c r="I42" s="5"/>
      <c r="J42" s="5"/>
      <c r="K42" s="5"/>
      <c r="L42" s="5"/>
      <c r="M42" s="6"/>
    </row>
    <row r="43" spans="2:13" s="19" customFormat="1" x14ac:dyDescent="0.25">
      <c r="B43" s="4"/>
      <c r="C43" s="5"/>
      <c r="D43" s="23">
        <f>SUM(D41:D42)</f>
        <v>0</v>
      </c>
      <c r="E43" s="5"/>
      <c r="F43" s="5"/>
      <c r="G43" s="5"/>
      <c r="H43" s="18"/>
      <c r="I43" s="5"/>
      <c r="J43" s="5"/>
      <c r="K43" s="5"/>
      <c r="L43" s="5"/>
      <c r="M43" s="6"/>
    </row>
    <row r="44" spans="2:13" s="19" customFormat="1" x14ac:dyDescent="0.25">
      <c r="B44" s="4"/>
      <c r="C44" s="5"/>
      <c r="D44" s="23"/>
      <c r="E44" s="5"/>
      <c r="F44" s="5"/>
      <c r="G44" s="5"/>
      <c r="H44" s="18"/>
      <c r="I44" s="5"/>
      <c r="J44" s="5"/>
      <c r="K44" s="5"/>
      <c r="L44" s="5"/>
      <c r="M44" s="6"/>
    </row>
    <row r="45" spans="2:13" s="19" customFormat="1" x14ac:dyDescent="0.25">
      <c r="B45" s="55"/>
      <c r="C45" s="56"/>
      <c r="D45" s="56">
        <f>C45*C12</f>
        <v>0</v>
      </c>
      <c r="E45" s="57"/>
      <c r="F45" s="5"/>
      <c r="G45" s="5"/>
      <c r="H45" s="18"/>
      <c r="I45" s="5"/>
      <c r="J45" s="5"/>
      <c r="K45" s="5"/>
      <c r="L45" s="5"/>
      <c r="M45" s="6"/>
    </row>
    <row r="46" spans="2:13" s="19" customFormat="1" x14ac:dyDescent="0.25">
      <c r="B46" s="4"/>
      <c r="C46" s="5"/>
      <c r="D46" s="23"/>
      <c r="E46" s="5"/>
      <c r="F46" s="5"/>
      <c r="G46" s="5"/>
      <c r="H46" s="18"/>
      <c r="I46" s="5"/>
      <c r="J46" s="5"/>
      <c r="K46" s="5"/>
      <c r="L46" s="5"/>
      <c r="M46" s="6"/>
    </row>
    <row r="47" spans="2:13" s="19" customFormat="1" x14ac:dyDescent="0.25">
      <c r="B47" s="4"/>
      <c r="C47" s="5"/>
      <c r="D47" s="23">
        <f>D45+D43+D40</f>
        <v>8621</v>
      </c>
      <c r="E47" s="5"/>
      <c r="F47" s="5"/>
      <c r="G47" s="5"/>
      <c r="H47" s="18"/>
      <c r="I47" s="5"/>
      <c r="J47" s="5"/>
      <c r="K47" s="5"/>
      <c r="L47" s="5"/>
      <c r="M47" s="6"/>
    </row>
    <row r="48" spans="2:13" s="19" customFormat="1" ht="15.75" thickBot="1" x14ac:dyDescent="0.3">
      <c r="B48" s="8"/>
      <c r="C48" s="9"/>
      <c r="D48" s="9"/>
      <c r="E48" s="9"/>
      <c r="F48" s="9"/>
      <c r="G48" s="9"/>
      <c r="H48" s="40"/>
      <c r="I48" s="9"/>
      <c r="J48" s="9"/>
      <c r="K48" s="9"/>
      <c r="L48" s="9"/>
      <c r="M48" s="10"/>
    </row>
    <row r="49" spans="2:13" s="19" customFormat="1" ht="15.75" thickTop="1" x14ac:dyDescent="0.25">
      <c r="B49" s="32" t="s">
        <v>22</v>
      </c>
      <c r="C49" s="33"/>
      <c r="D49" s="33"/>
      <c r="E49" s="33"/>
      <c r="F49" s="33"/>
      <c r="G49" s="33"/>
      <c r="H49" s="41"/>
      <c r="I49" s="33"/>
      <c r="J49" s="33"/>
      <c r="K49" s="33"/>
      <c r="L49" s="33"/>
      <c r="M49" s="34"/>
    </row>
    <row r="50" spans="2:13" s="19" customFormat="1" x14ac:dyDescent="0.25">
      <c r="B50" s="27"/>
      <c r="C50" s="25"/>
      <c r="D50" s="25"/>
      <c r="E50" s="25"/>
      <c r="F50" s="25"/>
      <c r="G50" s="25"/>
      <c r="H50" s="30"/>
      <c r="I50" s="25"/>
      <c r="J50" s="25"/>
      <c r="K50" s="25"/>
      <c r="L50" s="25"/>
      <c r="M50" s="26"/>
    </row>
    <row r="51" spans="2:13" s="19" customFormat="1" ht="15.75" x14ac:dyDescent="0.25">
      <c r="B51" s="27" t="s">
        <v>23</v>
      </c>
      <c r="C51" s="25"/>
      <c r="D51" s="35">
        <f>((C18)+(J31*J15))</f>
        <v>168540.42399999997</v>
      </c>
      <c r="E51" s="47">
        <f>(D51/D54)*100</f>
        <v>62.816775345651706</v>
      </c>
      <c r="F51" s="25" t="s">
        <v>28</v>
      </c>
      <c r="G51" s="25"/>
      <c r="H51" s="42" t="s">
        <v>26</v>
      </c>
      <c r="I51" s="36"/>
      <c r="J51" s="44">
        <f>D54/C12</f>
        <v>10319.415417825514</v>
      </c>
      <c r="K51" s="25"/>
      <c r="L51" s="25"/>
      <c r="M51" s="26"/>
    </row>
    <row r="52" spans="2:13" s="19" customFormat="1" ht="15.75" x14ac:dyDescent="0.25">
      <c r="B52" s="27" t="s">
        <v>24</v>
      </c>
      <c r="C52" s="25"/>
      <c r="D52" s="35">
        <f>D22+D23+D24+D25+D26+J22+J24+J26</f>
        <v>91143.376863463403</v>
      </c>
      <c r="E52" s="47">
        <f>(D52/D54)*100</f>
        <v>33.970087963444612</v>
      </c>
      <c r="F52" s="25" t="s">
        <v>28</v>
      </c>
      <c r="G52" s="25"/>
      <c r="H52" s="42"/>
      <c r="I52" s="36"/>
      <c r="J52" s="45"/>
      <c r="K52" s="25"/>
      <c r="L52" s="25"/>
      <c r="M52" s="26"/>
    </row>
    <row r="53" spans="2:13" s="19" customFormat="1" ht="15.75" x14ac:dyDescent="0.25">
      <c r="B53" s="27" t="s">
        <v>25</v>
      </c>
      <c r="C53" s="25"/>
      <c r="D53" s="35">
        <f>D47+(J32*J30)</f>
        <v>8621</v>
      </c>
      <c r="E53" s="47">
        <f>(D53/D54)*100</f>
        <v>3.2131366909036818</v>
      </c>
      <c r="F53" s="25" t="s">
        <v>28</v>
      </c>
      <c r="G53" s="25"/>
      <c r="H53" s="42" t="s">
        <v>27</v>
      </c>
      <c r="I53" s="36"/>
      <c r="J53" s="44">
        <f>(J51/K12)</f>
        <v>1947.0595127972667</v>
      </c>
      <c r="K53" s="25"/>
      <c r="L53" s="25"/>
      <c r="M53" s="26"/>
    </row>
    <row r="54" spans="2:13" s="19" customFormat="1" ht="15.75" x14ac:dyDescent="0.25">
      <c r="B54" s="27"/>
      <c r="C54" s="25"/>
      <c r="D54" s="43">
        <f>SUM(D51:D53)</f>
        <v>268304.80086346337</v>
      </c>
      <c r="E54" s="35">
        <f>SUM(E51:E53)</f>
        <v>100</v>
      </c>
      <c r="F54" s="25" t="s">
        <v>28</v>
      </c>
      <c r="G54" s="25"/>
      <c r="H54" s="25"/>
      <c r="I54" s="25"/>
      <c r="J54" s="25"/>
      <c r="K54" s="25"/>
      <c r="L54" s="25"/>
      <c r="M54" s="26"/>
    </row>
    <row r="55" spans="2:13" ht="15.75" thickBot="1" x14ac:dyDescent="0.3"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9"/>
    </row>
    <row r="56" spans="2:13" ht="15.75" thickTop="1" x14ac:dyDescent="0.25"/>
  </sheetData>
  <pageMargins left="0.51181102362204722" right="0.51181102362204722" top="0.78740157480314965" bottom="0.78740157480314965" header="0.31496062992125984" footer="0.31496062992125984"/>
  <pageSetup paperSize="9" scale="7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NAVEGANTES</vt:lpstr>
      <vt:lpstr>NAVEGANTES!Area_de_impressao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Fabiano</dc:creator>
  <cp:lastModifiedBy>Alexandre Distefano</cp:lastModifiedBy>
  <cp:lastPrinted>2024-09-02T18:59:15Z</cp:lastPrinted>
  <dcterms:created xsi:type="dcterms:W3CDTF">2024-08-30T16:36:59Z</dcterms:created>
  <dcterms:modified xsi:type="dcterms:W3CDTF">2026-06-23T19:53:57Z</dcterms:modified>
</cp:coreProperties>
</file>